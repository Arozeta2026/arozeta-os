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uanguruceta/Downloads/"/>
    </mc:Choice>
  </mc:AlternateContent>
  <xr:revisionPtr revIDLastSave="0" documentId="13_ncr:20001_{945F4F9C-49F5-F147-A98C-77F4B8DF15A0}" xr6:coauthVersionLast="47" xr6:coauthVersionMax="47" xr10:uidLastSave="{00000000-0000-0000-0000-000000000000}"/>
  <bookViews>
    <workbookView xWindow="0" yWindow="760" windowWidth="34560" windowHeight="21580" activeTab="11" xr2:uid="{00000000-000D-0000-FFFF-FFFF00000000}"/>
  </bookViews>
  <sheets>
    <sheet name="README" sheetId="1" r:id="rId1"/>
    <sheet name="Dashboard" sheetId="2" r:id="rId2"/>
    <sheet name="KPIs" sheetId="3" r:id="rId3"/>
    <sheet name="Bancos" sheetId="4" r:id="rId4"/>
    <sheet name="Empresas" sheetId="5" r:id="rId5"/>
    <sheet name="Ingresos" sheetId="6" r:id="rId6"/>
    <sheet name="Gastos" sheetId="7" r:id="rId7"/>
    <sheet name="Movimientos" sheetId="8" r:id="rId8"/>
    <sheet name="Cobros" sheetId="9" r:id="rId9"/>
    <sheet name="Pagos" sheetId="10" r:id="rId10"/>
    <sheet name="Inmuebles" sheetId="11" r:id="rId11"/>
    <sheet name="Deudas" sheetId="12" r:id="rId12"/>
    <sheet name="Inversiones" sheetId="13" r:id="rId13"/>
    <sheet name="Seguros" sheetId="14" r:id="rId14"/>
    <sheet name="Objetivos" sheetId="15" r:id="rId15"/>
    <sheet name="Forecast" sheetId="16" r:id="rId16"/>
    <sheet name="Escenarios" sheetId="17" r:id="rId17"/>
    <sheet name="AI Advisor" sheetId="18" r:id="rId18"/>
    <sheet name="Parámetros" sheetId="19" r:id="rId19"/>
    <sheet name="Catálogos" sheetId="20" r:id="rId20"/>
  </sheets>
  <externalReferences>
    <externalReference r:id="rId21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D5" i="13"/>
  <c r="D2" i="13"/>
  <c r="D7" i="6"/>
  <c r="O19" i="6"/>
  <c r="O18" i="6"/>
  <c r="O17" i="6"/>
</calcChain>
</file>

<file path=xl/sharedStrings.xml><?xml version="1.0" encoding="utf-8"?>
<sst xmlns="http://schemas.openxmlformats.org/spreadsheetml/2006/main" count="204" uniqueCount="112">
  <si>
    <t>Sección</t>
  </si>
  <si>
    <t>Descripción</t>
  </si>
  <si>
    <t>Cómo usar</t>
  </si>
  <si>
    <t>Rellena únicamente las hojas operativas (Bancos, Ingresos, Gastos, Empresas, Inmuebles, Deudas e Inversiones).</t>
  </si>
  <si>
    <t>Indicador</t>
  </si>
  <si>
    <t>Valor</t>
  </si>
  <si>
    <t>KPI</t>
  </si>
  <si>
    <t>Objetivo</t>
  </si>
  <si>
    <t>ID</t>
  </si>
  <si>
    <t>Banco</t>
  </si>
  <si>
    <t>IBAN</t>
  </si>
  <si>
    <t>Titular</t>
  </si>
  <si>
    <t>Saldo</t>
  </si>
  <si>
    <t>Moneda</t>
  </si>
  <si>
    <t>Estado</t>
  </si>
  <si>
    <t>Empresa</t>
  </si>
  <si>
    <t>Participación %</t>
  </si>
  <si>
    <t>Dividendos</t>
  </si>
  <si>
    <t>Concepto</t>
  </si>
  <si>
    <t>Importe</t>
  </si>
  <si>
    <t>Periodicidad</t>
  </si>
  <si>
    <t>Vencimiento</t>
  </si>
  <si>
    <t>Cobrado el</t>
  </si>
  <si>
    <t>Pagado el</t>
  </si>
  <si>
    <t>Fecha</t>
  </si>
  <si>
    <t>Cuenta</t>
  </si>
  <si>
    <t>Categoría</t>
  </si>
  <si>
    <t>Cliente</t>
  </si>
  <si>
    <t>Previsto</t>
  </si>
  <si>
    <t>Cobrado</t>
  </si>
  <si>
    <t>Proveedor</t>
  </si>
  <si>
    <t>Pagado</t>
  </si>
  <si>
    <t>Activo</t>
  </si>
  <si>
    <t>Hipoteca</t>
  </si>
  <si>
    <t>Renta</t>
  </si>
  <si>
    <t>Entidad</t>
  </si>
  <si>
    <t>Capital</t>
  </si>
  <si>
    <t>Cuota</t>
  </si>
  <si>
    <t>Interés</t>
  </si>
  <si>
    <t>Tipo</t>
  </si>
  <si>
    <t>Rentabilidad</t>
  </si>
  <si>
    <t>Póliza</t>
  </si>
  <si>
    <t>Compañía</t>
  </si>
  <si>
    <t>Prima</t>
  </si>
  <si>
    <t>Actual</t>
  </si>
  <si>
    <t>Mes</t>
  </si>
  <si>
    <t>Ingresos</t>
  </si>
  <si>
    <t>Gastos</t>
  </si>
  <si>
    <t>Caja</t>
  </si>
  <si>
    <t>Escenario</t>
  </si>
  <si>
    <t>Impacto</t>
  </si>
  <si>
    <t>Recomendación</t>
  </si>
  <si>
    <t>Prioridad</t>
  </si>
  <si>
    <t>Clave</t>
  </si>
  <si>
    <t>Mensual</t>
  </si>
  <si>
    <t>Pendiente</t>
  </si>
  <si>
    <t>EUR</t>
  </si>
  <si>
    <t>Anual</t>
  </si>
  <si>
    <t>USD</t>
  </si>
  <si>
    <t>Nómina</t>
  </si>
  <si>
    <t>Único</t>
  </si>
  <si>
    <t>Vencido</t>
  </si>
  <si>
    <t>Impuesto</t>
  </si>
  <si>
    <t>Objetivo2</t>
  </si>
  <si>
    <t>Inversis</t>
  </si>
  <si>
    <t>Ingresos Divilo</t>
  </si>
  <si>
    <t>Ingresos Crowpire</t>
  </si>
  <si>
    <t>Ingresos Tax Leases</t>
  </si>
  <si>
    <t>Ingreso Venta Solares</t>
  </si>
  <si>
    <t>Ingresos Rotshchild</t>
  </si>
  <si>
    <t>Otros</t>
  </si>
  <si>
    <t>Divilo</t>
  </si>
  <si>
    <t>Crowpire</t>
  </si>
  <si>
    <t>Tax Leases</t>
  </si>
  <si>
    <t>Rothschild</t>
  </si>
  <si>
    <t>Guman</t>
  </si>
  <si>
    <t>Arozeta</t>
  </si>
  <si>
    <t>Servicios</t>
  </si>
  <si>
    <t>IAG</t>
  </si>
  <si>
    <t>amazon</t>
  </si>
  <si>
    <t>acción</t>
  </si>
  <si>
    <t>BBVA</t>
  </si>
  <si>
    <t>Santander</t>
  </si>
  <si>
    <t>ES34 0049 5147 4720 1663 9094</t>
  </si>
  <si>
    <t>ES64 0049 1803 5125 1179 3163</t>
  </si>
  <si>
    <t>ES7101820936030201646483</t>
  </si>
  <si>
    <t>arozeta enterprises S.L</t>
  </si>
  <si>
    <t>Juan Guruceta Arenas</t>
  </si>
  <si>
    <t>ES76 0182 0936 0202 0158 2907</t>
  </si>
  <si>
    <t>Arozeta Enterprises S.L</t>
  </si>
  <si>
    <t>INversis</t>
  </si>
  <si>
    <t>ES3202320581500045512230</t>
  </si>
  <si>
    <t>ES6902320581510044433651</t>
  </si>
  <si>
    <t>Arozeta Enteprises S.L</t>
  </si>
  <si>
    <t>Divilo Fintech S.L</t>
  </si>
  <si>
    <t>Guman S.A</t>
  </si>
  <si>
    <t>Alquiler vivienda</t>
  </si>
  <si>
    <t>Colegios</t>
  </si>
  <si>
    <t>Psicóloga Juan</t>
  </si>
  <si>
    <t>renting Mercedes Benz</t>
  </si>
  <si>
    <t>Préstamo Audi Q5</t>
  </si>
  <si>
    <t>Pensión compensatoria</t>
  </si>
  <si>
    <t>Clases Inglés Niños</t>
  </si>
  <si>
    <t>Alquiler Piano</t>
  </si>
  <si>
    <t>Seguro de Salud</t>
  </si>
  <si>
    <t>Spotify</t>
  </si>
  <si>
    <t>Ortodoncia Juan</t>
  </si>
  <si>
    <t>Préstamo Juan</t>
  </si>
  <si>
    <t>Gestoría</t>
  </si>
  <si>
    <t>Valsan Mudanzas</t>
  </si>
  <si>
    <t>Juan Guruceta</t>
  </si>
  <si>
    <t>Arozeta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</si>
</sst>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1" xfId="0" applyFont="1" applyFill="1" applyBorder="1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anguruceta/Downloads/Ingresos.xlsx" TargetMode="External"/><Relationship Id="rId1" Type="http://schemas.openxmlformats.org/officeDocument/2006/relationships/externalLinkPath" Target="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yección ingresos"/>
      <sheetName val="Tax Leases 2025"/>
      <sheetName val="Tax Leases 2026"/>
      <sheetName val="Hoja1"/>
      <sheetName val="Presupusto Juan 2026"/>
      <sheetName val="Tax Lease"/>
      <sheetName val="Rothschild"/>
      <sheetName val="Deuda"/>
      <sheetName val="TASKS"/>
      <sheetName val="CUENTAS"/>
      <sheetName val="Boligaciones"/>
      <sheetName val="NHÊA"/>
      <sheetName val="Inversione caja realizadas"/>
      <sheetName val="Viajes Colegio"/>
      <sheetName val="Gastos Mensuales"/>
      <sheetName val="Casa Proye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2">
  <autoFilter ref="A1:B2" xr:uid="{00000000-0009-0000-0100-000001000000}"/>
  <tableColumns count="2">
    <tableColumn id="1" xr3:uid="{00000000-0010-0000-0000-000001000000}" name="Sección"/>
    <tableColumn id="2" xr3:uid="{00000000-0010-0000-0000-000002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shboardTbl" displayName="DashboardTbl" ref="A1:B2">
  <autoFilter ref="A1:B2" xr:uid="{00000000-0009-0000-0100-000002000000}"/>
  <tableColumns count="2">
    <tableColumn id="1" xr3:uid="{00000000-0010-0000-0100-000001000000}" name="Indicador"/>
    <tableColumn id="2" xr3:uid="{00000000-0010-0000-0100-000002000000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PIsTbl" displayName="KPIsTbl" ref="A1:C2">
  <autoFilter ref="A1:C2" xr:uid="{00000000-0009-0000-0100-000003000000}"/>
  <tableColumns count="3">
    <tableColumn id="1" xr3:uid="{00000000-0010-0000-0200-000001000000}" name="KPI"/>
    <tableColumn id="2" xr3:uid="{00000000-0010-0000-0200-000002000000}" name="Valor"/>
    <tableColumn id="3" xr3:uid="{00000000-0010-0000-0200-000003000000}" name="Obje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ncosTbl" displayName="BancosTbl" ref="A1:G8">
  <autoFilter ref="A1:G8" xr:uid="{00000000-0009-0000-0100-000004000000}"/>
  <tableColumns count="7">
    <tableColumn id="1" xr3:uid="{00000000-0010-0000-0300-000001000000}" name="ID"/>
    <tableColumn id="2" xr3:uid="{00000000-0010-0000-0300-000002000000}" name="Banco"/>
    <tableColumn id="3" xr3:uid="{00000000-0010-0000-0300-000003000000}" name="IBAN"/>
    <tableColumn id="4" xr3:uid="{00000000-0010-0000-0300-000004000000}" name="Titular"/>
    <tableColumn id="5" xr3:uid="{00000000-0010-0000-0300-000005000000}" name="Saldo"/>
    <tableColumn id="6" xr3:uid="{00000000-0010-0000-0300-000006000000}" name="Moneda"/>
    <tableColumn id="7" xr3:uid="{00000000-0010-0000-0300-000007000000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mpresasTbl" displayName="EmpresasTbl" ref="A1:F5">
  <autoFilter ref="A1:F5" xr:uid="{00000000-0009-0000-0100-000005000000}"/>
  <tableColumns count="6">
    <tableColumn id="1" xr3:uid="{00000000-0010-0000-0400-000001000000}" name="ID"/>
    <tableColumn id="2" xr3:uid="{00000000-0010-0000-0400-000002000000}" name="Empresa"/>
    <tableColumn id="3" xr3:uid="{00000000-0010-0000-0400-000003000000}" name="Participación %"/>
    <tableColumn id="4" xr3:uid="{00000000-0010-0000-0400-000004000000}" name="Valor"/>
    <tableColumn id="5" xr3:uid="{00000000-0010-0000-0400-000005000000}" name="Dividendos"/>
    <tableColumn id="6" xr3:uid="{00000000-0010-0000-0400-000006000000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gresosTbl" displayName="IngresosTbl" ref="A1:H8">
  <autoFilter ref="A1:H8" xr:uid="{00000000-0009-0000-0100-000006000000}"/>
  <tableColumns count="8">
    <tableColumn id="1" xr3:uid="{00000000-0010-0000-0500-000001000000}" name="ID"/>
    <tableColumn id="2" xr3:uid="{00000000-0010-0000-0500-000002000000}" name="Concepto"/>
    <tableColumn id="3" xr3:uid="{00000000-0010-0000-0500-000003000000}" name="Empresa"/>
    <tableColumn id="4" xr3:uid="{00000000-0010-0000-0500-000004000000}" name="Importe"/>
    <tableColumn id="5" xr3:uid="{00000000-0010-0000-0500-000005000000}" name="Periodicidad"/>
    <tableColumn id="6" xr3:uid="{00000000-0010-0000-0500-000006000000}" name="Vencimiento"/>
    <tableColumn id="7" xr3:uid="{00000000-0010-0000-0500-000007000000}" name="Cobrado el"/>
    <tableColumn id="8" xr3:uid="{00000000-0010-0000-0500-000008000000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astosTbl" displayName="GastosTbl" ref="A1:H2">
  <autoFilter ref="A1:H2" xr:uid="{00000000-0009-0000-0100-000007000000}"/>
  <tableColumns count="8">
    <tableColumn id="1" xr3:uid="{00000000-0010-0000-0600-000001000000}" name="ID"/>
    <tableColumn id="2" xr3:uid="{00000000-0010-0000-0600-000002000000}" name="Concepto"/>
    <tableColumn id="3" xr3:uid="{00000000-0010-0000-0600-000003000000}" name="Empresa"/>
    <tableColumn id="4" xr3:uid="{00000000-0010-0000-0600-000004000000}" name="Importe"/>
    <tableColumn id="5" xr3:uid="{00000000-0010-0000-0600-000005000000}" name="Periodicidad"/>
    <tableColumn id="6" xr3:uid="{00000000-0010-0000-0600-000006000000}" name="Vencimiento"/>
    <tableColumn id="7" xr3:uid="{00000000-0010-0000-0600-000007000000}" name="Pagado el"/>
    <tableColumn id="8" xr3:uid="{00000000-0010-0000-0600-000008000000}" name="Est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ovimientosTbl" displayName="MovimientosTbl" ref="A1:F2">
  <autoFilter ref="A1:F2" xr:uid="{00000000-0009-0000-0100-000008000000}"/>
  <tableColumns count="6">
    <tableColumn id="1" xr3:uid="{00000000-0010-0000-0700-000001000000}" name="ID"/>
    <tableColumn id="2" xr3:uid="{00000000-0010-0000-0700-000002000000}" name="Fecha"/>
    <tableColumn id="3" xr3:uid="{00000000-0010-0000-0700-000003000000}" name="Cuenta"/>
    <tableColumn id="4" xr3:uid="{00000000-0010-0000-0700-000004000000}" name="Concepto"/>
    <tableColumn id="5" xr3:uid="{00000000-0010-0000-0700-000005000000}" name="Categoría"/>
    <tableColumn id="6" xr3:uid="{00000000-0010-0000-0700-000006000000}" name="Impor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brosTbl" displayName="CobrosTbl" ref="A1:F2">
  <autoFilter ref="A1:F2" xr:uid="{00000000-0009-0000-0100-000009000000}"/>
  <tableColumns count="6">
    <tableColumn id="1" xr3:uid="{00000000-0010-0000-0800-000001000000}" name="ID"/>
    <tableColumn id="2" xr3:uid="{00000000-0010-0000-0800-000002000000}" name="Cliente"/>
    <tableColumn id="3" xr3:uid="{00000000-0010-0000-0800-000003000000}" name="Importe"/>
    <tableColumn id="4" xr3:uid="{00000000-0010-0000-0800-000004000000}" name="Previsto"/>
    <tableColumn id="5" xr3:uid="{00000000-0010-0000-0800-000005000000}" name="Cobrado"/>
    <tableColumn id="6" xr3:uid="{00000000-0010-0000-0800-000006000000}" name="Est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gosTbl" displayName="PagosTbl" ref="A1:F2">
  <autoFilter ref="A1:F2" xr:uid="{00000000-0009-0000-0100-00000A000000}"/>
  <tableColumns count="6">
    <tableColumn id="1" xr3:uid="{00000000-0010-0000-0900-000001000000}" name="ID"/>
    <tableColumn id="2" xr3:uid="{00000000-0010-0000-0900-000002000000}" name="Proveedor"/>
    <tableColumn id="3" xr3:uid="{00000000-0010-0000-0900-000003000000}" name="Importe"/>
    <tableColumn id="4" xr3:uid="{00000000-0010-0000-0900-000004000000}" name="Previsto"/>
    <tableColumn id="5" xr3:uid="{00000000-0010-0000-0900-000005000000}" name="Pagado"/>
    <tableColumn id="6" xr3:uid="{00000000-0010-0000-0900-000006000000}" name="Estad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nmueblesTbl" displayName="InmueblesTbl" ref="A1:F2">
  <autoFilter ref="A1:F2" xr:uid="{00000000-0009-0000-0100-00000B000000}"/>
  <tableColumns count="6">
    <tableColumn id="1" xr3:uid="{00000000-0010-0000-0A00-000001000000}" name="ID"/>
    <tableColumn id="2" xr3:uid="{00000000-0010-0000-0A00-000002000000}" name="Activo"/>
    <tableColumn id="3" xr3:uid="{00000000-0010-0000-0A00-000003000000}" name="Valor"/>
    <tableColumn id="4" xr3:uid="{00000000-0010-0000-0A00-000004000000}" name="Hipoteca"/>
    <tableColumn id="5" xr3:uid="{00000000-0010-0000-0A00-000005000000}" name="Renta"/>
    <tableColumn id="6" xr3:uid="{00000000-0010-0000-0A00-000006000000}" name="Esta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eudasTbl" displayName="DeudasTbl" ref="A1:G3">
  <autoFilter ref="A1:G3" xr:uid="{00000000-0009-0000-0100-00000C000000}"/>
  <tableColumns count="7">
    <tableColumn id="1" xr3:uid="{00000000-0010-0000-0B00-000001000000}" name="ID"/>
    <tableColumn id="2" xr3:uid="{00000000-0010-0000-0B00-000002000000}" name="Entidad"/>
    <tableColumn id="3" xr3:uid="{00000000-0010-0000-0B00-000003000000}" name="Capital"/>
    <tableColumn id="4" xr3:uid="{00000000-0010-0000-0B00-000004000000}" name="Cuota"/>
    <tableColumn id="5" xr3:uid="{00000000-0010-0000-0B00-000005000000}" name="Interés"/>
    <tableColumn id="6" xr3:uid="{00000000-0010-0000-0B00-000006000000}" name="Vencimiento"/>
    <tableColumn id="7" xr3:uid="{00000000-0010-0000-0B00-000007000000}" name="Est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nversionesTbl" displayName="InversionesTbl" ref="A1:E2">
  <autoFilter ref="A1:E2" xr:uid="{00000000-0009-0000-0100-00000D000000}"/>
  <tableColumns count="5">
    <tableColumn id="1" xr3:uid="{00000000-0010-0000-0C00-000001000000}" name="ID"/>
    <tableColumn id="2" xr3:uid="{00000000-0010-0000-0C00-000002000000}" name="Activo"/>
    <tableColumn id="3" xr3:uid="{00000000-0010-0000-0C00-000003000000}" name="Tipo"/>
    <tableColumn id="4" xr3:uid="{00000000-0010-0000-0C00-000004000000}" name="Valor">
      <calculatedColumnFormula>+SUM(D4:D10)</calculatedColumnFormula>
    </tableColumn>
    <tableColumn id="5" xr3:uid="{00000000-0010-0000-0C00-000005000000}" name="Rentabilida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egurosTbl" displayName="SegurosTbl" ref="A1:E2">
  <autoFilter ref="A1:E2" xr:uid="{00000000-0009-0000-0100-00000E000000}"/>
  <tableColumns count="5">
    <tableColumn id="1" xr3:uid="{00000000-0010-0000-0D00-000001000000}" name="ID"/>
    <tableColumn id="2" xr3:uid="{00000000-0010-0000-0D00-000002000000}" name="Póliza"/>
    <tableColumn id="3" xr3:uid="{00000000-0010-0000-0D00-000003000000}" name="Compañía"/>
    <tableColumn id="4" xr3:uid="{00000000-0010-0000-0D00-000004000000}" name="Prima"/>
    <tableColumn id="5" xr3:uid="{00000000-0010-0000-0D00-000005000000}" name="Vencimient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ObjetivosTbl" displayName="ObjetivosTbl" ref="A1:D2">
  <autoFilter ref="A1:D2" xr:uid="{00000000-0009-0000-0100-00000F000000}"/>
  <tableColumns count="4">
    <tableColumn id="1" xr3:uid="{00000000-0010-0000-0E00-000001000000}" name="Objetivo"/>
    <tableColumn id="2" xr3:uid="{00000000-0010-0000-0E00-000002000000}" name="Actual"/>
    <tableColumn id="3" xr3:uid="{00000000-0010-0000-0E00-000003000000}" name="Objetivo2"/>
    <tableColumn id="4" xr3:uid="{00000000-0010-0000-0E00-000004000000}" name="Fech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recastTbl" displayName="ForecastTbl" ref="A1:D2">
  <autoFilter ref="A1:D2" xr:uid="{00000000-0009-0000-0100-000010000000}"/>
  <tableColumns count="4">
    <tableColumn id="1" xr3:uid="{00000000-0010-0000-0F00-000001000000}" name="Mes"/>
    <tableColumn id="2" xr3:uid="{00000000-0010-0000-0F00-000002000000}" name="Ingresos"/>
    <tableColumn id="3" xr3:uid="{00000000-0010-0000-0F00-000003000000}" name="Gastos"/>
    <tableColumn id="4" xr3:uid="{00000000-0010-0000-0F00-000004000000}" name="Caj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EscenariosTbl" displayName="EscenariosTbl" ref="A1:D2">
  <autoFilter ref="A1:D2" xr:uid="{00000000-0009-0000-0100-000011000000}"/>
  <tableColumns count="4">
    <tableColumn id="1" xr3:uid="{00000000-0010-0000-1000-000001000000}" name="Escenario"/>
    <tableColumn id="2" xr3:uid="{00000000-0010-0000-1000-000002000000}" name="Activo"/>
    <tableColumn id="3" xr3:uid="{00000000-0010-0000-1000-000003000000}" name="Descripción"/>
    <tableColumn id="4" xr3:uid="{00000000-0010-0000-1000-000004000000}" name="Impact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IAdvisorTbl" displayName="AIAdvisorTbl" ref="A1:D2">
  <autoFilter ref="A1:D2" xr:uid="{00000000-0009-0000-0100-000012000000}"/>
  <tableColumns count="4">
    <tableColumn id="1" xr3:uid="{00000000-0010-0000-1100-000001000000}" name="Fecha"/>
    <tableColumn id="2" xr3:uid="{00000000-0010-0000-1100-000002000000}" name="Recomendación"/>
    <tableColumn id="3" xr3:uid="{00000000-0010-0000-1100-000003000000}" name="Prioridad"/>
    <tableColumn id="4" xr3:uid="{00000000-0010-0000-1100-000004000000}" name="Estad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arámetrosTbl" displayName="ParámetrosTbl" ref="A1:B2">
  <autoFilter ref="A1:B2" xr:uid="{00000000-0009-0000-0100-000013000000}"/>
  <tableColumns count="2">
    <tableColumn id="1" xr3:uid="{00000000-0010-0000-1200-000001000000}" name="Clave"/>
    <tableColumn id="2" xr3:uid="{00000000-0010-0000-1200-000002000000}" name="Valo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álogosTbl" displayName="CatálogosTbl" ref="A1:D2">
  <autoFilter ref="A1:D2" xr:uid="{00000000-0009-0000-0100-000014000000}"/>
  <tableColumns count="4">
    <tableColumn id="1" xr3:uid="{00000000-0010-0000-1300-000001000000}" name="Periodicidad"/>
    <tableColumn id="2" xr3:uid="{00000000-0010-0000-1300-000002000000}" name="Estado"/>
    <tableColumn id="3" xr3:uid="{00000000-0010-0000-1300-000003000000}" name="Moneda"/>
    <tableColumn id="4" xr3:uid="{00000000-0010-0000-1300-000004000000}" name="Catego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2" width="18" customWidth="1"/>
  </cols>
  <sheetData>
    <row r="1" spans="1:2" x14ac:dyDescent="0.2">
      <c r="A1" s="1" t="s">
        <v>4</v>
      </c>
      <c r="B1" s="1" t="s"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 activeCell="C35" sqref="C35"/>
    </sheetView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s="1" t="s">
        <v>6</v>
      </c>
      <c r="B1" s="1" t="s">
        <v>5</v>
      </c>
      <c r="C1" s="1" t="s">
        <v>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1" topLeftCell="A2" activePane="bottomLeft" state="frozen"/>
      <selection pane="bottomLeft" activeCell="F17" sqref="F17"/>
    </sheetView>
  </sheetViews>
  <sheetFormatPr baseColWidth="10" defaultColWidth="8.83203125" defaultRowHeight="15" x14ac:dyDescent="0.2"/>
  <cols>
    <col min="1" max="2" width="18" customWidth="1"/>
    <col min="3" max="3" width="27" bestFit="1" customWidth="1"/>
    <col min="4" max="4" width="28.33203125" customWidth="1"/>
    <col min="5" max="7" width="18" customWidth="1"/>
  </cols>
  <sheetData>
    <row r="1" spans="1:7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3" spans="1:7" x14ac:dyDescent="0.2">
      <c r="B3" t="s">
        <v>82</v>
      </c>
      <c r="C3" t="s">
        <v>84</v>
      </c>
      <c r="D3" t="s">
        <v>86</v>
      </c>
    </row>
    <row r="4" spans="1:7" x14ac:dyDescent="0.2">
      <c r="B4" t="s">
        <v>82</v>
      </c>
      <c r="C4" t="s">
        <v>83</v>
      </c>
      <c r="D4" t="s">
        <v>87</v>
      </c>
    </row>
    <row r="5" spans="1:7" x14ac:dyDescent="0.2">
      <c r="B5" t="s">
        <v>81</v>
      </c>
      <c r="C5" t="s">
        <v>85</v>
      </c>
      <c r="D5" t="s">
        <v>86</v>
      </c>
    </row>
    <row r="6" spans="1:7" x14ac:dyDescent="0.2">
      <c r="B6" t="s">
        <v>81</v>
      </c>
      <c r="C6" t="s">
        <v>88</v>
      </c>
      <c r="D6" t="s">
        <v>87</v>
      </c>
    </row>
    <row r="7" spans="1:7" x14ac:dyDescent="0.2">
      <c r="B7" t="s">
        <v>64</v>
      </c>
      <c r="C7" t="s">
        <v>91</v>
      </c>
      <c r="D7" t="s">
        <v>89</v>
      </c>
    </row>
    <row r="8" spans="1:7" x14ac:dyDescent="0.2">
      <c r="B8" t="s">
        <v>90</v>
      </c>
      <c r="C8" t="s">
        <v>92</v>
      </c>
      <c r="D8" t="s">
        <v>87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pane ySplit="1" topLeftCell="A2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8</v>
      </c>
      <c r="B1" s="1" t="s">
        <v>15</v>
      </c>
      <c r="C1" s="1" t="s">
        <v>16</v>
      </c>
      <c r="D1" s="1" t="s">
        <v>5</v>
      </c>
      <c r="E1" s="1" t="s">
        <v>17</v>
      </c>
      <c r="F1" s="1" t="s">
        <v>14</v>
      </c>
    </row>
    <row r="3" spans="1:6" x14ac:dyDescent="0.2">
      <c r="B3" t="s">
        <v>93</v>
      </c>
      <c r="C3" s="6">
        <v>1</v>
      </c>
    </row>
    <row r="4" spans="1:6" x14ac:dyDescent="0.2">
      <c r="B4" t="s">
        <v>94</v>
      </c>
      <c r="C4" s="6">
        <v>0.36</v>
      </c>
    </row>
    <row r="5" spans="1:6" x14ac:dyDescent="0.2">
      <c r="B5" t="s">
        <v>95</v>
      </c>
      <c r="C5" s="6">
        <v>0.15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"/>
  <sheetViews>
    <sheetView workbookViewId="0">
      <pane ySplit="1" topLeftCell="A2" activePane="bottomLeft" state="frozen"/>
      <selection pane="bottomLeft" activeCell="M33" sqref="M33"/>
    </sheetView>
  </sheetViews>
  <sheetFormatPr baseColWidth="10" defaultColWidth="8.83203125" defaultRowHeight="15" x14ac:dyDescent="0.2"/>
  <cols>
    <col min="1" max="8" width="18" customWidth="1"/>
    <col min="14" max="14" width="17.1640625" bestFit="1" customWidth="1"/>
  </cols>
  <sheetData>
    <row r="1" spans="1:8" x14ac:dyDescent="0.2">
      <c r="A1" s="1" t="s">
        <v>8</v>
      </c>
      <c r="B1" s="1" t="s">
        <v>18</v>
      </c>
      <c r="C1" s="1" t="s">
        <v>15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14</v>
      </c>
    </row>
    <row r="3" spans="1:8" x14ac:dyDescent="0.2">
      <c r="B3" t="s">
        <v>77</v>
      </c>
      <c r="C3" t="s">
        <v>71</v>
      </c>
      <c r="D3">
        <v>6000</v>
      </c>
      <c r="E3" t="s">
        <v>54</v>
      </c>
    </row>
    <row r="4" spans="1:8" x14ac:dyDescent="0.2">
      <c r="B4" t="s">
        <v>77</v>
      </c>
      <c r="C4" t="s">
        <v>72</v>
      </c>
      <c r="D4">
        <v>7200</v>
      </c>
      <c r="E4" t="s">
        <v>54</v>
      </c>
    </row>
    <row r="5" spans="1:8" x14ac:dyDescent="0.2">
      <c r="B5" t="s">
        <v>77</v>
      </c>
      <c r="C5" t="s">
        <v>73</v>
      </c>
    </row>
    <row r="6" spans="1:8" x14ac:dyDescent="0.2">
      <c r="B6" t="s">
        <v>77</v>
      </c>
      <c r="C6" t="s">
        <v>74</v>
      </c>
    </row>
    <row r="7" spans="1:8" x14ac:dyDescent="0.2">
      <c r="B7" t="s">
        <v>77</v>
      </c>
      <c r="C7" t="s">
        <v>75</v>
      </c>
      <c r="D7">
        <f>1700*1.21</f>
        <v>2057</v>
      </c>
      <c r="E7" t="s">
        <v>54</v>
      </c>
    </row>
    <row r="8" spans="1:8" x14ac:dyDescent="0.2">
      <c r="B8" t="s">
        <v>77</v>
      </c>
      <c r="C8" t="s">
        <v>76</v>
      </c>
      <c r="D8">
        <v>3500</v>
      </c>
      <c r="E8" t="s">
        <v>54</v>
      </c>
    </row>
    <row r="17" spans="14:15" x14ac:dyDescent="0.2">
      <c r="N17" t="s">
        <v>65</v>
      </c>
      <c r="O17">
        <f>9500*12</f>
        <v>114000</v>
      </c>
    </row>
    <row r="18" spans="14:15" x14ac:dyDescent="0.2">
      <c r="N18" t="s">
        <v>66</v>
      </c>
      <c r="O18">
        <f>6000*12</f>
        <v>72000</v>
      </c>
    </row>
    <row r="19" spans="14:15" x14ac:dyDescent="0.2">
      <c r="N19" t="s">
        <v>67</v>
      </c>
      <c r="O19" s="3">
        <f>+SUM('[1]Tax Leases 2026'!S18+'[1]Tax Leases 2026'!S17+'[1]Tax Leases 2026'!R22+'[1]Tax Leases 2026'!R31)</f>
        <v>0</v>
      </c>
    </row>
    <row r="20" spans="14:15" x14ac:dyDescent="0.2">
      <c r="N20" t="s">
        <v>68</v>
      </c>
      <c r="O20" s="4">
        <v>400000</v>
      </c>
    </row>
    <row r="21" spans="14:15" x14ac:dyDescent="0.2">
      <c r="N21" t="s">
        <v>69</v>
      </c>
    </row>
    <row r="22" spans="14:15" x14ac:dyDescent="0.2">
      <c r="N22" t="s">
        <v>70</v>
      </c>
    </row>
  </sheetData>
  <dataValidations count="2">
    <dataValidation type="list" allowBlank="1" sqref="H2:H500" xr:uid="{00000000-0002-0000-0500-000000000000}">
      <formula1>"Pendiente,Pagado,Vencido"</formula1>
    </dataValidation>
    <dataValidation type="list" allowBlank="1" sqref="E2:E500" xr:uid="{00000000-0002-0000-0500-000001000000}">
      <formula1>"Mensual,Trimestral,Anual,Único"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8" width="18" customWidth="1"/>
  </cols>
  <sheetData>
    <row r="1" spans="1:8" x14ac:dyDescent="0.2">
      <c r="A1" s="1" t="s">
        <v>8</v>
      </c>
      <c r="B1" s="1" t="s">
        <v>18</v>
      </c>
      <c r="C1" s="1" t="s">
        <v>15</v>
      </c>
      <c r="D1" s="1" t="s">
        <v>19</v>
      </c>
      <c r="E1" s="1" t="s">
        <v>20</v>
      </c>
      <c r="F1" s="1" t="s">
        <v>21</v>
      </c>
      <c r="G1" s="1" t="s">
        <v>23</v>
      </c>
      <c r="H1" s="1" t="s">
        <v>14</v>
      </c>
    </row>
    <row r="3" spans="1:8" ht="16" x14ac:dyDescent="0.2">
      <c r="B3" t="s">
        <v>96</v>
      </c>
      <c r="C3" t="s">
        <v>110</v>
      </c>
      <c r="D3" s="7">
        <v>2600</v>
      </c>
      <c r="E3" t="s">
        <v>54</v>
      </c>
    </row>
    <row r="4" spans="1:8" ht="16" x14ac:dyDescent="0.2">
      <c r="B4" t="s">
        <v>97</v>
      </c>
      <c r="C4" t="s">
        <v>110</v>
      </c>
      <c r="D4" s="7">
        <v>2232</v>
      </c>
      <c r="E4" t="s">
        <v>54</v>
      </c>
    </row>
    <row r="5" spans="1:8" ht="16" x14ac:dyDescent="0.2">
      <c r="B5" t="s">
        <v>98</v>
      </c>
      <c r="C5" t="s">
        <v>110</v>
      </c>
      <c r="D5" s="7">
        <v>320</v>
      </c>
      <c r="E5" t="s">
        <v>54</v>
      </c>
    </row>
    <row r="6" spans="1:8" ht="16" x14ac:dyDescent="0.2">
      <c r="B6" t="s">
        <v>99</v>
      </c>
      <c r="C6" t="s">
        <v>111</v>
      </c>
      <c r="D6" s="7">
        <v>1212</v>
      </c>
      <c r="E6" t="s">
        <v>54</v>
      </c>
      <c r="F6" s="5">
        <v>46813</v>
      </c>
    </row>
    <row r="7" spans="1:8" ht="16" x14ac:dyDescent="0.2">
      <c r="B7" t="s">
        <v>100</v>
      </c>
      <c r="C7" t="s">
        <v>111</v>
      </c>
      <c r="D7" s="7">
        <v>491</v>
      </c>
      <c r="E7" t="s">
        <v>54</v>
      </c>
    </row>
    <row r="8" spans="1:8" ht="16" x14ac:dyDescent="0.2">
      <c r="B8" t="s">
        <v>101</v>
      </c>
      <c r="C8" t="s">
        <v>110</v>
      </c>
      <c r="D8" s="7">
        <v>600</v>
      </c>
      <c r="E8" t="s">
        <v>54</v>
      </c>
      <c r="F8" s="5">
        <v>46966</v>
      </c>
    </row>
    <row r="9" spans="1:8" ht="16" x14ac:dyDescent="0.2">
      <c r="B9" t="s">
        <v>102</v>
      </c>
      <c r="C9" t="s">
        <v>110</v>
      </c>
      <c r="D9" s="7">
        <v>80</v>
      </c>
      <c r="E9" t="s">
        <v>54</v>
      </c>
    </row>
    <row r="10" spans="1:8" ht="16" x14ac:dyDescent="0.2">
      <c r="B10" t="s">
        <v>103</v>
      </c>
      <c r="C10" t="s">
        <v>110</v>
      </c>
      <c r="D10" s="7">
        <v>72</v>
      </c>
      <c r="E10" t="s">
        <v>54</v>
      </c>
    </row>
    <row r="11" spans="1:8" ht="16" x14ac:dyDescent="0.2">
      <c r="B11" t="s">
        <v>104</v>
      </c>
      <c r="C11" t="s">
        <v>110</v>
      </c>
      <c r="D11" s="7">
        <v>4272</v>
      </c>
      <c r="E11" t="s">
        <v>57</v>
      </c>
    </row>
    <row r="12" spans="1:8" ht="16" x14ac:dyDescent="0.2">
      <c r="B12" t="s">
        <v>105</v>
      </c>
      <c r="C12" t="s">
        <v>110</v>
      </c>
      <c r="D12" s="7">
        <v>12</v>
      </c>
      <c r="E12" t="s">
        <v>54</v>
      </c>
    </row>
    <row r="13" spans="1:8" ht="16" x14ac:dyDescent="0.2">
      <c r="B13" t="s">
        <v>106</v>
      </c>
      <c r="C13" t="s">
        <v>110</v>
      </c>
      <c r="D13" s="7">
        <v>190</v>
      </c>
      <c r="E13" t="s">
        <v>54</v>
      </c>
    </row>
    <row r="14" spans="1:8" ht="16" x14ac:dyDescent="0.2">
      <c r="B14" t="s">
        <v>107</v>
      </c>
      <c r="C14" t="s">
        <v>110</v>
      </c>
      <c r="D14" s="7">
        <v>349.91</v>
      </c>
      <c r="E14" t="s">
        <v>54</v>
      </c>
    </row>
    <row r="15" spans="1:8" ht="16" x14ac:dyDescent="0.2">
      <c r="B15" t="s">
        <v>108</v>
      </c>
      <c r="C15" t="s">
        <v>111</v>
      </c>
      <c r="D15" s="7">
        <v>438</v>
      </c>
      <c r="E15" t="s">
        <v>54</v>
      </c>
    </row>
    <row r="16" spans="1:8" ht="16" x14ac:dyDescent="0.2">
      <c r="B16" t="s">
        <v>109</v>
      </c>
      <c r="C16" t="s">
        <v>111</v>
      </c>
      <c r="D16" s="7">
        <v>117</v>
      </c>
      <c r="E16" t="s">
        <v>54</v>
      </c>
    </row>
  </sheetData>
  <dataValidations count="2">
    <dataValidation type="list" allowBlank="1" sqref="H2:H500" xr:uid="{00000000-0002-0000-0600-000000000000}">
      <formula1>"Pendiente,Pagado,Vencido"</formula1>
    </dataValidation>
    <dataValidation type="list" allowBlank="1" sqref="E2:E500" xr:uid="{00000000-0002-0000-0600-000001000000}">
      <formula1>"Mensual,Trimestral,Anual,Único"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8</v>
      </c>
      <c r="B1" s="1" t="s">
        <v>24</v>
      </c>
      <c r="C1" s="1" t="s">
        <v>25</v>
      </c>
      <c r="D1" s="1" t="s">
        <v>18</v>
      </c>
      <c r="E1" s="1" t="s">
        <v>26</v>
      </c>
      <c r="F1" s="1" t="s">
        <v>19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8</v>
      </c>
      <c r="B1" s="1" t="s">
        <v>27</v>
      </c>
      <c r="C1" s="1" t="s">
        <v>19</v>
      </c>
      <c r="D1" s="1" t="s">
        <v>28</v>
      </c>
      <c r="E1" s="1" t="s">
        <v>29</v>
      </c>
      <c r="F1" s="1" t="s">
        <v>14</v>
      </c>
    </row>
  </sheetData>
  <dataValidations count="2">
    <dataValidation type="list" allowBlank="1" sqref="H2:H500" xr:uid="{00000000-0002-0000-0800-000000000000}">
      <formula1>"Pendiente,Pagado,Vencido"</formula1>
    </dataValidation>
    <dataValidation type="list" allowBlank="1" sqref="E2:E500" xr:uid="{00000000-0002-0000-0800-000001000000}">
      <formula1>"Mensual,Trimestral,Anual,Único"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8</v>
      </c>
      <c r="B1" s="1" t="s">
        <v>30</v>
      </c>
      <c r="C1" s="1" t="s">
        <v>19</v>
      </c>
      <c r="D1" s="1" t="s">
        <v>28</v>
      </c>
      <c r="E1" s="1" t="s">
        <v>31</v>
      </c>
      <c r="F1" s="1" t="s">
        <v>14</v>
      </c>
    </row>
  </sheetData>
  <dataValidations count="2">
    <dataValidation type="list" allowBlank="1" sqref="H2:H500" xr:uid="{00000000-0002-0000-0900-000000000000}">
      <formula1>"Pendiente,Pagado,Vencido"</formula1>
    </dataValidation>
    <dataValidation type="list" allowBlank="1" sqref="E2:E500" xr:uid="{00000000-0002-0000-0900-000001000000}">
      <formula1>"Mensual,Trimestral,Anual,Único"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8</v>
      </c>
      <c r="B1" s="1" t="s">
        <v>32</v>
      </c>
      <c r="C1" s="1" t="s">
        <v>5</v>
      </c>
      <c r="D1" s="1" t="s">
        <v>33</v>
      </c>
      <c r="E1" s="1" t="s">
        <v>34</v>
      </c>
      <c r="F1" s="1" t="s">
        <v>14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ColWidth="8.83203125" defaultRowHeight="15" x14ac:dyDescent="0.2"/>
  <cols>
    <col min="1" max="7" width="18" customWidth="1"/>
  </cols>
  <sheetData>
    <row r="1" spans="1:7" x14ac:dyDescent="0.2">
      <c r="A1" s="1" t="s">
        <v>8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21</v>
      </c>
      <c r="G1" s="1" t="s">
        <v>14</v>
      </c>
    </row>
    <row r="3" spans="1:7" x14ac:dyDescent="0.2">
      <c r="B3" t="s">
        <v>81</v>
      </c>
      <c r="C3">
        <v>184245.89</v>
      </c>
      <c r="D3">
        <v>350</v>
      </c>
      <c r="E3" t="s">
        <v>54</v>
      </c>
      <c r="F3" s="5">
        <v>48001</v>
      </c>
    </row>
    <row r="5" spans="1:7" x14ac:dyDescent="0.2">
      <c r="B5" s="2" t="s">
        <v>64</v>
      </c>
      <c r="C5" s="2">
        <v>230000</v>
      </c>
      <c r="D5" s="2"/>
    </row>
  </sheetData>
  <dataValidations count="2">
    <dataValidation type="list" allowBlank="1" sqref="H2:H500" xr:uid="{00000000-0002-0000-0B00-000000000000}">
      <formula1>"Pendiente,Pagado,Vencido"</formula1>
    </dataValidation>
    <dataValidation type="list" allowBlank="1" sqref="E2:E500" xr:uid="{00000000-0002-0000-0B00-000001000000}">
      <formula1>"Mensual,Trimestral,Anual,Único"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>
      <pane ySplit="1" topLeftCell="A2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" t="s">
        <v>8</v>
      </c>
      <c r="B1" s="1" t="s">
        <v>32</v>
      </c>
      <c r="C1" s="1" t="s">
        <v>39</v>
      </c>
      <c r="D1" s="1" t="s">
        <v>5</v>
      </c>
      <c r="E1" s="1" t="s">
        <v>40</v>
      </c>
    </row>
    <row r="2" spans="1:5" x14ac:dyDescent="0.2">
      <c r="D2">
        <f>+SUM(D4:D10)</f>
        <v>432551.01</v>
      </c>
    </row>
    <row r="4" spans="1:5" x14ac:dyDescent="0.2">
      <c r="A4">
        <v>1</v>
      </c>
      <c r="B4" t="s">
        <v>78</v>
      </c>
      <c r="C4" t="s">
        <v>80</v>
      </c>
      <c r="D4">
        <f>82303*5.15</f>
        <v>423860.45</v>
      </c>
    </row>
    <row r="5" spans="1:5" x14ac:dyDescent="0.2">
      <c r="A5">
        <v>2</v>
      </c>
      <c r="B5" t="s">
        <v>79</v>
      </c>
      <c r="C5" t="s">
        <v>80</v>
      </c>
      <c r="D5">
        <f>32*271.58</f>
        <v>8690.56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" t="s">
        <v>8</v>
      </c>
      <c r="B1" s="1" t="s">
        <v>41</v>
      </c>
      <c r="C1" s="1" t="s">
        <v>42</v>
      </c>
      <c r="D1" s="1" t="s">
        <v>43</v>
      </c>
      <c r="E1" s="1" t="s">
        <v>21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7</v>
      </c>
      <c r="B1" s="1" t="s">
        <v>44</v>
      </c>
      <c r="C1" s="1" t="s">
        <v>63</v>
      </c>
      <c r="D1" s="1" t="s">
        <v>24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45</v>
      </c>
      <c r="B1" s="1" t="s">
        <v>46</v>
      </c>
      <c r="C1" s="1" t="s">
        <v>47</v>
      </c>
      <c r="D1" s="1" t="s">
        <v>48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49</v>
      </c>
      <c r="B1" s="1" t="s">
        <v>32</v>
      </c>
      <c r="C1" s="1" t="s">
        <v>1</v>
      </c>
      <c r="D1" s="1" t="s">
        <v>50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24</v>
      </c>
      <c r="B1" s="1" t="s">
        <v>51</v>
      </c>
      <c r="C1" s="1" t="s">
        <v>52</v>
      </c>
      <c r="D1" s="1" t="s">
        <v>14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</cols>
  <sheetData>
    <row r="1" spans="1:2" x14ac:dyDescent="0.2">
      <c r="A1" s="1" t="s">
        <v>53</v>
      </c>
      <c r="B1" s="1" t="s">
        <v>5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20</v>
      </c>
      <c r="B1" s="1" t="s">
        <v>14</v>
      </c>
      <c r="C1" s="1" t="s">
        <v>13</v>
      </c>
      <c r="D1" s="1" t="s">
        <v>26</v>
      </c>
    </row>
    <row r="2" spans="1:4" x14ac:dyDescent="0.2">
      <c r="A2" t="s">
        <v>54</v>
      </c>
      <c r="B2" t="s">
        <v>55</v>
      </c>
      <c r="C2" t="s">
        <v>56</v>
      </c>
      <c r="D2" t="s">
        <v>33</v>
      </c>
    </row>
    <row r="3" spans="1:4" x14ac:dyDescent="0.2">
      <c r="A3" t="s">
        <v>57</v>
      </c>
      <c r="B3" t="s">
        <v>31</v>
      </c>
      <c r="C3" t="s">
        <v>58</v>
      </c>
      <c r="D3" t="s">
        <v>59</v>
      </c>
    </row>
    <row r="4" spans="1:4" x14ac:dyDescent="0.2">
      <c r="A4" t="s">
        <v>60</v>
      </c>
      <c r="B4" t="s">
        <v>61</v>
      </c>
      <c r="D4" t="s">
        <v>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README</vt:lpstr>
      <vt:lpstr>Dashboard</vt:lpstr>
      <vt:lpstr>KPIs</vt:lpstr>
      <vt:lpstr>Bancos</vt:lpstr>
      <vt:lpstr>Empresas</vt:lpstr>
      <vt:lpstr>Ingresos</vt:lpstr>
      <vt:lpstr>Gastos</vt:lpstr>
      <vt:lpstr>Movimientos</vt:lpstr>
      <vt:lpstr>Cobros</vt:lpstr>
      <vt:lpstr>Pagos</vt:lpstr>
      <vt:lpstr>Inmuebles</vt:lpstr>
      <vt:lpstr>Deudas</vt:lpstr>
      <vt:lpstr>Inversiones</vt:lpstr>
      <vt:lpstr>Seguros</vt:lpstr>
      <vt:lpstr>Objetivos</vt:lpstr>
      <vt:lpstr>Forecast</vt:lpstr>
      <vt:lpstr>Escenarios</vt:lpstr>
      <vt:lpstr>AI Advisor</vt:lpstr>
      <vt:lpstr>Parámetros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Guruceta Arenas</cp:lastModifiedBy>
  <dcterms:created xsi:type="dcterms:W3CDTF">2026-08-02T21:57:04Z</dcterms:created>
  <dcterms:modified xsi:type="dcterms:W3CDTF">2026-08-03T08:43:54Z</dcterms:modified>
</cp:coreProperties>
</file>